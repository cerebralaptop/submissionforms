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Assessment" sheetId="2" state="visible" r:id="rId2"/>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b val="1"/>
      <sz val="14"/>
    </font>
    <font>
      <i val="1"/>
      <sz val="10"/>
    </font>
    <font>
      <b val="1"/>
      <color rgb="00FFFFFF"/>
      <sz val="12"/>
    </font>
    <font>
      <b val="1"/>
      <sz val="11"/>
    </font>
    <font>
      <b val="1"/>
    </font>
    <font>
      <b val="1"/>
      <sz val="16"/>
    </font>
    <font>
      <b val="1"/>
      <i val="1"/>
    </font>
    <font>
      <b val="1"/>
      <sz val="12"/>
    </font>
  </fonts>
  <fills count="8">
    <fill>
      <patternFill/>
    </fill>
    <fill>
      <patternFill patternType="gray125"/>
    </fill>
    <fill>
      <patternFill patternType="solid">
        <fgColor rgb="002E7D32"/>
        <bgColor rgb="002E7D32"/>
      </patternFill>
    </fill>
    <fill>
      <patternFill patternType="solid">
        <fgColor rgb="00C8E6C9"/>
        <bgColor rgb="00C8E6C9"/>
      </patternFill>
    </fill>
    <fill>
      <patternFill patternType="solid">
        <fgColor rgb="00E8F5E9"/>
        <bgColor rgb="00E8F5E9"/>
      </patternFill>
    </fill>
    <fill>
      <patternFill patternType="solid">
        <fgColor rgb="00FFF3CD"/>
        <bgColor rgb="00FFF3CD"/>
      </patternFill>
    </fill>
    <fill>
      <patternFill patternType="solid">
        <fgColor rgb="00F8D7DA"/>
        <bgColor rgb="00F8D7DA"/>
      </patternFill>
    </fill>
    <fill>
      <patternFill patternType="solid">
        <fgColor rgb="00E2E3E5"/>
        <bgColor rgb="00E2E3E5"/>
      </patternFill>
    </fill>
  </fills>
  <borders count="2">
    <border>
      <left/>
      <right/>
      <top/>
      <bottom/>
      <diagonal/>
    </border>
    <border>
      <left style="thin"/>
      <right style="thin"/>
      <top style="thin"/>
      <bottom style="thin"/>
    </border>
  </borders>
  <cellStyleXfs count="1">
    <xf numFmtId="0" fontId="0" fillId="0" borderId="0"/>
  </cellStyleXfs>
  <cellXfs count="24">
    <xf numFmtId="0" fontId="0" fillId="0" borderId="0" pivotButton="0" quotePrefix="0" xfId="0"/>
    <xf numFmtId="0" fontId="6" fillId="0" borderId="0" applyAlignment="1" pivotButton="0" quotePrefix="0" xfId="0">
      <alignment horizontal="center"/>
    </xf>
    <xf numFmtId="0" fontId="2" fillId="0" borderId="0" applyAlignment="1" pivotButton="0" quotePrefix="0" xfId="0">
      <alignment horizontal="center"/>
    </xf>
    <xf numFmtId="0" fontId="5" fillId="0" borderId="0" pivotButton="0" quotePrefix="0" xfId="0"/>
    <xf numFmtId="0" fontId="7" fillId="0" borderId="0" pivotButton="0" quotePrefix="0" xfId="0"/>
    <xf numFmtId="0" fontId="0" fillId="3" borderId="0" pivotButton="0" quotePrefix="0" xfId="0"/>
    <xf numFmtId="0" fontId="0" fillId="0" borderId="0" applyAlignment="1" pivotButton="0" quotePrefix="0" xfId="0">
      <alignment vertical="top" wrapText="1"/>
    </xf>
    <xf numFmtId="0" fontId="0" fillId="5" borderId="0" pivotButton="0" quotePrefix="0" xfId="0"/>
    <xf numFmtId="0" fontId="0" fillId="6" borderId="0" pivotButton="0" quotePrefix="0" xfId="0"/>
    <xf numFmtId="0" fontId="0" fillId="7" borderId="0" pivotButton="0" quotePrefix="0" xfId="0"/>
    <xf numFmtId="0" fontId="3" fillId="2" borderId="1" applyAlignment="1" pivotButton="0" quotePrefix="0" xfId="0">
      <alignment horizontal="center" vertical="center"/>
    </xf>
    <xf numFmtId="0" fontId="0" fillId="0" borderId="1" pivotButton="0" quotePrefix="0" xfId="0"/>
    <xf numFmtId="0" fontId="0" fillId="0" borderId="1" applyAlignment="1" pivotButton="0" quotePrefix="0" xfId="0">
      <alignment horizontal="center"/>
    </xf>
    <xf numFmtId="0" fontId="8" fillId="3" borderId="0" pivotButton="0" quotePrefix="0" xfId="0"/>
    <xf numFmtId="0" fontId="5" fillId="0" borderId="0" applyAlignment="1" pivotButton="0" quotePrefix="0" xfId="0">
      <alignment horizontal="center"/>
    </xf>
    <xf numFmtId="0" fontId="1" fillId="0" borderId="0" applyAlignment="1" pivotButton="0" quotePrefix="0" xfId="0">
      <alignment horizontal="center"/>
    </xf>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3" borderId="1" applyAlignment="1" pivotButton="0" quotePrefix="0" xfId="0">
      <alignment horizontal="left" vertical="center"/>
    </xf>
    <xf numFmtId="0" fontId="5" fillId="4" borderId="1" applyAlignment="1" pivotButton="0" quotePrefix="0" xfId="0">
      <alignment vertical="top" wrapText="1"/>
    </xf>
    <xf numFmtId="0" fontId="0" fillId="4" borderId="1" applyAlignment="1" pivotButton="0" quotePrefix="0" xfId="0">
      <alignment vertical="top" wrapText="1"/>
    </xf>
    <xf numFmtId="0" fontId="0" fillId="4" borderId="1" applyAlignment="1" pivotButton="0" quotePrefix="0" xfId="0">
      <alignment horizontal="center" vertical="top"/>
    </xf>
    <xf numFmtId="0" fontId="0" fillId="0" borderId="1" applyAlignment="1" pivotButton="0" quotePrefix="0" xfId="0">
      <alignment vertical="top" wrapText="1"/>
    </xf>
    <xf numFmtId="0" fontId="0" fillId="0" borderId="1" applyAlignment="1" pivotButton="0" quotePrefix="0" xfId="0">
      <alignment horizontal="center" vertical="top"/>
    </xf>
  </cellXfs>
  <cellStyles count="1">
    <cellStyle name="Normal" xfId="0" builtinId="0" hidden="0"/>
  </cellStyles>
  <dxfs count="4">
    <dxf>
      <fill>
        <patternFill patternType="solid">
          <fgColor rgb="00C8E6C9"/>
          <bgColor rgb="00C8E6C9"/>
        </patternFill>
      </fill>
    </dxf>
    <dxf>
      <fill>
        <patternFill patternType="solid">
          <fgColor rgb="00FFF3CD"/>
          <bgColor rgb="00FFF3CD"/>
        </patternFill>
      </fill>
    </dxf>
    <dxf>
      <fill>
        <patternFill patternType="solid">
          <fgColor rgb="00F8D7DA"/>
          <bgColor rgb="00F8D7DA"/>
        </patternFill>
      </fill>
    </dxf>
    <dxf>
      <fill>
        <patternFill patternType="solid">
          <fgColor rgb="00E2E3E5"/>
          <bgColor rgb="00E2E3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35" customWidth="1" min="1" max="1"/>
    <col width="15" customWidth="1" min="2" max="2"/>
    <col width="15" customWidth="1" min="3" max="3"/>
    <col width="15" customWidth="1" min="4" max="4"/>
    <col width="18" customWidth="1" min="5" max="5"/>
    <col width="25" customWidth="1" min="6" max="6"/>
  </cols>
  <sheetData>
    <row r="1">
      <c r="A1" s="1" t="inlineStr">
        <is>
          <t>VERIFICATION AND HANDOVER - COMPLIANCE DASHBOARD</t>
        </is>
      </c>
    </row>
    <row r="2">
      <c r="A2" s="2" t="inlineStr">
        <is>
          <t>Assessment Summary - Scores auto-calculate as you complete the Assessment sheet</t>
        </is>
      </c>
    </row>
    <row r="4">
      <c r="A4" s="3" t="inlineStr">
        <is>
          <t>SCORING LEGEND:</t>
        </is>
      </c>
      <c r="C4" s="4" t="inlineStr">
        <is>
          <t>THRESHOLDS: 3+ Minor NCs in a section = equivalent to 1 Major NC</t>
        </is>
      </c>
    </row>
    <row r="5">
      <c r="A5" s="5" t="inlineStr">
        <is>
          <t>Complies = 0 points</t>
        </is>
      </c>
      <c r="C5" s="6" t="inlineStr">
        <is>
          <t>Section Status: ON TRACK (score 0-2) | AT RISK (score 3-5) | NOT COMPLIANT (score 6+, or any Major NC)</t>
        </is>
      </c>
    </row>
    <row r="6">
      <c r="A6" s="7" t="inlineStr">
        <is>
          <t>Minor NC = 1 point</t>
        </is>
      </c>
    </row>
    <row r="7">
      <c r="A7" s="8" t="inlineStr">
        <is>
          <t>Major NC = 3 points</t>
        </is>
      </c>
    </row>
    <row r="8">
      <c r="A8" s="9" t="inlineStr">
        <is>
          <t>N/A = Not counted</t>
        </is>
      </c>
    </row>
    <row r="10">
      <c r="A10" s="10" t="inlineStr">
        <is>
          <t>Criteria Section</t>
        </is>
      </c>
      <c r="B10" s="10" t="inlineStr">
        <is>
          <t>Complies</t>
        </is>
      </c>
      <c r="C10" s="10" t="inlineStr">
        <is>
          <t>Minor NC</t>
        </is>
      </c>
      <c r="D10" s="10" t="inlineStr">
        <is>
          <t>Major NC</t>
        </is>
      </c>
      <c r="E10" s="10" t="inlineStr">
        <is>
          <t>Total Score</t>
        </is>
      </c>
      <c r="F10" s="10" t="inlineStr">
        <is>
          <t>Section Status</t>
        </is>
      </c>
    </row>
    <row r="11">
      <c r="A11" s="11" t="inlineStr">
        <is>
          <t>Metering and Monitoring</t>
        </is>
      </c>
      <c r="B11" s="12">
        <f>COUNTIF(Assessment!D6:D14,"Complies")</f>
        <v/>
      </c>
      <c r="C11" s="12">
        <f>COUNTIF(Assessment!D6:D14,"Minor NC")</f>
        <v/>
      </c>
      <c r="D11" s="12">
        <f>COUNTIF(Assessment!D6:D14,"Major NC")</f>
        <v/>
      </c>
      <c r="E11" s="12">
        <f>SUM(Assessment!E6:E14)</f>
        <v/>
      </c>
      <c r="F11" s="12">
        <f>IF(D11&gt;0,"NOT COMPLIANT",IF(E11&gt;=6,"NOT COMPLIANT",IF(E11&gt;=3,"AT RISK","ON TRACK")))</f>
        <v/>
      </c>
    </row>
    <row r="12">
      <c r="A12" s="11" t="inlineStr">
        <is>
          <t>Commissioning and Tuning</t>
        </is>
      </c>
      <c r="B12" s="12">
        <f>COUNTIF(Assessment!D15:D32,"Complies")</f>
        <v/>
      </c>
      <c r="C12" s="12">
        <f>COUNTIF(Assessment!D15:D32,"Minor NC")</f>
        <v/>
      </c>
      <c r="D12" s="12">
        <f>COUNTIF(Assessment!D15:D32,"Major NC")</f>
        <v/>
      </c>
      <c r="E12" s="12">
        <f>SUM(Assessment!E15:E32)</f>
        <v/>
      </c>
      <c r="F12" s="12">
        <f>IF(D12&gt;0,"NOT COMPLIANT",IF(E12&gt;=6,"NOT COMPLIANT",IF(E12&gt;=3,"AT RISK","ON TRACK")))</f>
        <v/>
      </c>
    </row>
    <row r="13">
      <c r="A13" s="11" t="inlineStr">
        <is>
          <t>Building Information</t>
        </is>
      </c>
      <c r="B13" s="12">
        <f>COUNTIF(Assessment!D33:D42,"Complies")</f>
        <v/>
      </c>
      <c r="C13" s="12">
        <f>COUNTIF(Assessment!D33:D42,"Minor NC")</f>
        <v/>
      </c>
      <c r="D13" s="12">
        <f>COUNTIF(Assessment!D33:D42,"Major NC")</f>
        <v/>
      </c>
      <c r="E13" s="12">
        <f>SUM(Assessment!E33:E42)</f>
        <v/>
      </c>
      <c r="F13" s="12">
        <f>IF(D13&gt;0,"NOT COMPLIANT",IF(E13&gt;=6,"NOT COMPLIANT",IF(E13&gt;=3,"AT RISK","ON TRACK")))</f>
        <v/>
      </c>
    </row>
    <row r="14">
      <c r="A14" s="11" t="inlineStr">
        <is>
          <t>Soft Landings Approach</t>
        </is>
      </c>
      <c r="B14" s="12">
        <f>COUNTIF(Assessment!D44:D51,"Complies")</f>
        <v/>
      </c>
      <c r="C14" s="12">
        <f>COUNTIF(Assessment!D44:D51,"Minor NC")</f>
        <v/>
      </c>
      <c r="D14" s="12">
        <f>COUNTIF(Assessment!D44:D51,"Major NC")</f>
        <v/>
      </c>
      <c r="E14" s="12">
        <f>SUM(Assessment!E44:E51)</f>
        <v/>
      </c>
      <c r="F14" s="12">
        <f>IF(D14&gt;0,"NOT COMPLIANT",IF(E14&gt;=6,"NOT COMPLIANT",IF(E14&gt;=3,"AT RISK","ON TRACK")))</f>
        <v/>
      </c>
    </row>
    <row r="15">
      <c r="A15" s="11" t="inlineStr">
        <is>
          <t>Independent Commissioning Agent</t>
        </is>
      </c>
      <c r="B15" s="12">
        <f>COUNTIF(Assessment!D52:D57,"Complies")</f>
        <v/>
      </c>
      <c r="C15" s="12">
        <f>COUNTIF(Assessment!D52:D57,"Minor NC")</f>
        <v/>
      </c>
      <c r="D15" s="12">
        <f>COUNTIF(Assessment!D52:D57,"Major NC")</f>
        <v/>
      </c>
      <c r="E15" s="12">
        <f>SUM(Assessment!E52:E57)</f>
        <v/>
      </c>
      <c r="F15" s="12">
        <f>IF(D15&gt;0,"NOT COMPLIANT",IF(E15&gt;=6,"NOT COMPLIANT",IF(E15&gt;=3,"AT RISK","ON TRACK")))</f>
        <v/>
      </c>
    </row>
    <row r="18">
      <c r="A18" s="13" t="inlineStr">
        <is>
          <t>OVERALL COMPLIANCE SUMMARY</t>
        </is>
      </c>
    </row>
    <row r="19">
      <c r="A19" s="3" t="inlineStr">
        <is>
          <t>Minimum Expectation Status:</t>
        </is>
      </c>
      <c r="B19" s="14">
        <f>IF(OR(F11="NOT COMPLIANT",F12="NOT COMPLIANT",F13="NOT COMPLIANT"),"NOT COMPLIANT",IF(OR(F11="AT RISK",F12="AT RISK",F13="AT RISK"),"AT RISK","ON TRACK"))</f>
        <v/>
      </c>
    </row>
    <row r="20">
      <c r="A20" s="3" t="inlineStr">
        <is>
          <t>Credit Achievement - Soft Landings:</t>
        </is>
      </c>
      <c r="B20" s="14">
        <f>F14</f>
        <v/>
      </c>
    </row>
    <row r="21">
      <c r="A21" s="3" t="inlineStr">
        <is>
          <t>Credit Achievement - ICA:</t>
        </is>
      </c>
      <c r="B21" s="14">
        <f>F15</f>
        <v/>
      </c>
    </row>
    <row r="23">
      <c r="A23" s="3" t="inlineStr">
        <is>
          <t>NOTES:</t>
        </is>
      </c>
    </row>
    <row r="24">
      <c r="A24" s="6" t="inlineStr">
        <is>
          <t>1. For Minimum Expectation: All three criteria (M&amp;M, C&amp;T, BI) must be ON TRACK or AT RISK (no Major NCs).</t>
        </is>
      </c>
    </row>
    <row r="25">
      <c r="A25" s="6" t="inlineStr">
        <is>
          <t>2. For Credit Achievement: Either Soft Landings OR ICA must be ON TRACK (plus Minimum Expectation).</t>
        </is>
      </c>
    </row>
    <row r="26">
      <c r="A26" s="6" t="inlineStr">
        <is>
          <t>3. For projects &gt;$20m Total Building Services Value: BOTH Soft Landings AND ICA required.</t>
        </is>
      </c>
    </row>
    <row r="27">
      <c r="A27" s="6" t="inlineStr">
        <is>
          <t>4. AT RISK status indicates minor issues that should be addressed before final submission.</t>
        </is>
      </c>
    </row>
    <row r="28">
      <c r="A28" s="6" t="inlineStr">
        <is>
          <t>5. Any Major NC in a section results in NOT COMPLIANT status for that section.</t>
        </is>
      </c>
    </row>
    <row r="29">
      <c r="A29" s="6" t="inlineStr">
        <is>
          <t>6. 3 or more Minor NCs (score of 3+) without a Major NC results in AT RISK status.</t>
        </is>
      </c>
    </row>
  </sheetData>
  <mergeCells count="12">
    <mergeCell ref="A24:F24"/>
    <mergeCell ref="A2:F2"/>
    <mergeCell ref="A28:F28"/>
    <mergeCell ref="C4:F4"/>
    <mergeCell ref="A1:F1"/>
    <mergeCell ref="A23:F23"/>
    <mergeCell ref="A29:F29"/>
    <mergeCell ref="A27:F27"/>
    <mergeCell ref="A18:F18"/>
    <mergeCell ref="A26:F26"/>
    <mergeCell ref="C5:F6"/>
    <mergeCell ref="A25:F25"/>
  </mergeCells>
  <conditionalFormatting sqref="F11:F15">
    <cfRule type="cellIs" priority="1" operator="equal" dxfId="0">
      <formula>"ON TRACK"</formula>
    </cfRule>
    <cfRule type="cellIs" priority="2" operator="equal" dxfId="1">
      <formula>"AT RISK"</formula>
    </cfRule>
    <cfRule type="cellIs" priority="3" operator="equal" dxfId="2">
      <formula>"NOT COMPLIANT"</formula>
    </cfRule>
  </conditionalFormatting>
  <conditionalFormatting sqref="B19">
    <cfRule type="cellIs" priority="4" operator="equal" dxfId="0">
      <formula>"ON TRACK"</formula>
    </cfRule>
    <cfRule type="cellIs" priority="5" operator="equal" dxfId="1">
      <formula>"AT RISK"</formula>
    </cfRule>
    <cfRule type="cellIs" priority="6" operator="equal" dxfId="2">
      <formula>"NOT COMPLIANT"</formula>
    </cfRule>
  </conditionalFormatting>
  <conditionalFormatting sqref="B20">
    <cfRule type="cellIs" priority="7" operator="equal" dxfId="0">
      <formula>"ON TRACK"</formula>
    </cfRule>
    <cfRule type="cellIs" priority="8" operator="equal" dxfId="1">
      <formula>"AT RISK"</formula>
    </cfRule>
    <cfRule type="cellIs" priority="9" operator="equal" dxfId="2">
      <formula>"NOT COMPLIANT"</formula>
    </cfRule>
  </conditionalFormatting>
  <conditionalFormatting sqref="B21">
    <cfRule type="cellIs" priority="10" operator="equal" dxfId="0">
      <formula>"ON TRACK"</formula>
    </cfRule>
    <cfRule type="cellIs" priority="11" operator="equal" dxfId="1">
      <formula>"AT RISK"</formula>
    </cfRule>
    <cfRule type="cellIs" priority="12" operator="equal" dxfId="2">
      <formula>"NOT COMPLIANT"</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7"/>
  <sheetViews>
    <sheetView workbookViewId="0">
      <selection activeCell="A1" sqref="A1"/>
    </sheetView>
  </sheetViews>
  <sheetFormatPr baseColWidth="8" defaultRowHeight="15"/>
  <cols>
    <col width="22" customWidth="1" min="1" max="1"/>
    <col width="28" customWidth="1" min="2" max="2"/>
    <col width="45" customWidth="1" min="3" max="3"/>
    <col width="18" customWidth="1" min="4" max="4"/>
    <col width="12" customWidth="1" min="5" max="5"/>
    <col width="35" customWidth="1" min="6" max="6"/>
    <col width="45" customWidth="1" min="7" max="7"/>
  </cols>
  <sheetData>
    <row r="1">
      <c r="A1" s="15" t="inlineStr">
        <is>
          <t>GREEN STAR BUILDINGS v1.1 - VERIFICATION AND HANDOVER CREDIT SUBMISSION FORM</t>
        </is>
      </c>
    </row>
    <row r="2">
      <c r="A2" s="16" t="inlineStr">
        <is>
          <t>Outcome: The building has been optimised and handed over to deliver a higher level of performance in operation.</t>
        </is>
      </c>
    </row>
    <row r="4">
      <c r="A4" s="17" t="inlineStr">
        <is>
          <t>Criteria</t>
        </is>
      </c>
      <c r="B4" s="17" t="inlineStr">
        <is>
          <t>Requirement</t>
        </is>
      </c>
      <c r="C4" s="17" t="inlineStr">
        <is>
          <t>Submission Question</t>
        </is>
      </c>
      <c r="D4" s="17" t="inlineStr">
        <is>
          <t>Compliance Status</t>
        </is>
      </c>
      <c r="E4" s="17" t="inlineStr">
        <is>
          <t>Score</t>
        </is>
      </c>
      <c r="F4" s="17" t="inlineStr">
        <is>
          <t>Evidence Provided</t>
        </is>
      </c>
      <c r="G4" s="17" t="inlineStr">
        <is>
          <t>Documentation Required</t>
        </is>
      </c>
    </row>
    <row r="5" ht="30" customHeight="1">
      <c r="A5" s="18" t="inlineStr">
        <is>
          <t>MINIMUM EXPECTATION</t>
        </is>
      </c>
    </row>
    <row r="6" ht="30" customHeight="1">
      <c r="A6" s="19" t="inlineStr">
        <is>
          <t>Metering and Monitoring</t>
        </is>
      </c>
      <c r="B6" s="20" t="inlineStr">
        <is>
          <t>Metering Distribution</t>
        </is>
      </c>
      <c r="C6" s="20" t="inlineStr">
        <is>
          <t>Does the building have accessible energy and water metering for all distinct uses and major uses?</t>
        </is>
      </c>
      <c r="D6" s="21" t="inlineStr"/>
      <c r="E6" s="21">
        <f>IF(D6="Complies",0,IF(D6="Minor NC",1,IF(D6="Major NC",3,IF(D6="N/A","",""))))</f>
        <v/>
      </c>
      <c r="F6" s="20" t="inlineStr"/>
      <c r="G6" s="20" t="inlineStr">
        <is>
          <t>As-built drawings showing location of all energy and water meters</t>
        </is>
      </c>
    </row>
    <row r="7" ht="30" customHeight="1">
      <c r="A7" s="22" t="inlineStr"/>
      <c r="B7" s="22" t="inlineStr"/>
      <c r="C7" s="22" t="inlineStr">
        <is>
          <t>Is metering provided for each separate tenancy or unit?</t>
        </is>
      </c>
      <c r="D7" s="23" t="inlineStr"/>
      <c r="E7" s="23">
        <f>IF(D7="Complies",0,IF(D7="Minor NC",1,IF(D7="Major NC",3,IF(D7="N/A","",""))))</f>
        <v/>
      </c>
      <c r="F7" s="22" t="inlineStr"/>
      <c r="G7" s="22" t="inlineStr"/>
    </row>
    <row r="8" ht="30" customHeight="1">
      <c r="A8" s="22" t="inlineStr"/>
      <c r="B8" s="22" t="inlineStr"/>
      <c r="C8" s="22" t="inlineStr">
        <is>
          <t>Is floor by floor metering provided where entire floors have a single use?</t>
        </is>
      </c>
      <c r="D8" s="23" t="inlineStr"/>
      <c r="E8" s="23">
        <f>IF(D8="Complies",0,IF(D8="Minor NC",1,IF(D8="Major NC",3,IF(D8="N/A","",""))))</f>
        <v/>
      </c>
      <c r="F8" s="22" t="inlineStr"/>
      <c r="G8" s="22" t="inlineStr"/>
    </row>
    <row r="9" ht="30" customHeight="1">
      <c r="A9" s="22" t="inlineStr"/>
      <c r="B9" s="22" t="inlineStr">
        <is>
          <t>Metering Schedule</t>
        </is>
      </c>
      <c r="C9" s="22" t="inlineStr">
        <is>
          <t>Has a metering schedule been provided in accordance with CIBSE TM39?</t>
        </is>
      </c>
      <c r="D9" s="23" t="inlineStr"/>
      <c r="E9" s="23">
        <f>IF(D9="Complies",0,IF(D9="Minor NC",1,IF(D9="Major NC",3,IF(D9="N/A","",""))))</f>
        <v/>
      </c>
      <c r="F9" s="22" t="inlineStr"/>
      <c r="G9" s="22" t="inlineStr">
        <is>
          <t>Metering schedule</t>
        </is>
      </c>
    </row>
    <row r="10" ht="30" customHeight="1">
      <c r="A10" s="22" t="inlineStr"/>
      <c r="B10" s="22" t="inlineStr">
        <is>
          <t>Metering Attributes</t>
        </is>
      </c>
      <c r="C10" s="22" t="inlineStr">
        <is>
          <t>Do all meters provide continual information (up to 1-hour interval readings)?</t>
        </is>
      </c>
      <c r="D10" s="23" t="inlineStr"/>
      <c r="E10" s="23">
        <f>IF(D10="Complies",0,IF(D10="Minor NC",1,IF(D10="Major NC",3,IF(D10="N/A","",""))))</f>
        <v/>
      </c>
      <c r="F10" s="22" t="inlineStr"/>
      <c r="G10" s="22" t="inlineStr">
        <is>
          <t>Product data sheets demonstrating pattern approval by NMI or recognised standard</t>
        </is>
      </c>
    </row>
    <row r="11" ht="30" customHeight="1">
      <c r="A11" s="22" t="inlineStr"/>
      <c r="B11" s="22" t="inlineStr"/>
      <c r="C11" s="22" t="inlineStr">
        <is>
          <t>Are meters commissioned and validated per NABERS Metering and Consumption Rules?</t>
        </is>
      </c>
      <c r="D11" s="23" t="inlineStr"/>
      <c r="E11" s="23">
        <f>IF(D11="Complies",0,IF(D11="Minor NC",1,IF(D11="Major NC",3,IF(D11="N/A","",""))))</f>
        <v/>
      </c>
      <c r="F11" s="22" t="inlineStr"/>
      <c r="G11" s="22" t="inlineStr">
        <is>
          <t>Completed metering validation documents</t>
        </is>
      </c>
    </row>
    <row r="12" ht="30" customHeight="1">
      <c r="A12" s="22" t="inlineStr"/>
      <c r="B12" s="22" t="inlineStr"/>
      <c r="C12" s="22" t="inlineStr">
        <is>
          <t>Are meters pattern approved by NMI or recognised standard?</t>
        </is>
      </c>
      <c r="D12" s="23" t="inlineStr"/>
      <c r="E12" s="23">
        <f>IF(D12="Complies",0,IF(D12="Minor NC",1,IF(D12="Major NC",3,IF(D12="N/A","",""))))</f>
        <v/>
      </c>
      <c r="F12" s="22" t="inlineStr"/>
      <c r="G12" s="22" t="inlineStr">
        <is>
          <t>Product data sheets or certificates</t>
        </is>
      </c>
    </row>
    <row r="13" ht="30" customHeight="1">
      <c r="A13" s="22" t="inlineStr"/>
      <c r="B13" s="22" t="inlineStr">
        <is>
          <t>Automatic Monitoring</t>
        </is>
      </c>
      <c r="C13" s="22" t="inlineStr">
        <is>
          <t>Is an automatic monitoring system implemented that reports consumption trends?</t>
        </is>
      </c>
      <c r="D13" s="23" t="inlineStr"/>
      <c r="E13" s="23">
        <f>IF(D13="Complies",0,IF(D13="Minor NC",1,IF(D13="Major NC",3,IF(D13="N/A","",""))))</f>
        <v/>
      </c>
      <c r="F13" s="22" t="inlineStr"/>
      <c r="G13" s="22" t="inlineStr">
        <is>
          <t>Letter of confirmation from contractor/metering provider</t>
        </is>
      </c>
    </row>
    <row r="14" ht="30" customHeight="1">
      <c r="A14" s="22" t="inlineStr"/>
      <c r="B14" s="22" t="inlineStr"/>
      <c r="C14" s="22" t="inlineStr">
        <is>
          <t>Does the system raise alarms when energy/water use exceeds parameters?</t>
        </is>
      </c>
      <c r="D14" s="23" t="inlineStr"/>
      <c r="E14" s="23">
        <f>IF(D14="Complies",0,IF(D14="Minor NC",1,IF(D14="Major NC",3,IF(D14="N/A","",""))))</f>
        <v/>
      </c>
      <c r="F14" s="22" t="inlineStr"/>
      <c r="G14" s="22" t="inlineStr">
        <is>
          <t>Extracts from commissioning reports</t>
        </is>
      </c>
    </row>
    <row r="15" ht="30" customHeight="1">
      <c r="A15" s="19" t="inlineStr">
        <is>
          <t>Commissioning and Tuning</t>
        </is>
      </c>
      <c r="B15" s="20" t="inlineStr">
        <is>
          <t>Environmental Performance Targets</t>
        </is>
      </c>
      <c r="C15" s="20" t="inlineStr">
        <is>
          <t>Were environmental performance targets documented prior to schematic design?</t>
        </is>
      </c>
      <c r="D15" s="21" t="inlineStr"/>
      <c r="E15" s="21">
        <f>IF(D15="Complies",0,IF(D15="Minor NC",1,IF(D15="Major NC",3,IF(D15="N/A","",""))))</f>
        <v/>
      </c>
      <c r="F15" s="20" t="inlineStr"/>
      <c r="G15" s="20" t="inlineStr">
        <is>
          <t>Extracts from design intent report or OPR</t>
        </is>
      </c>
    </row>
    <row r="16" ht="30" customHeight="1">
      <c r="A16" s="22" t="inlineStr"/>
      <c r="B16" s="22" t="inlineStr"/>
      <c r="C16" s="22" t="inlineStr">
        <is>
          <t>Does the report include targets for energy use, water consumption, IEQ and airtightness?</t>
        </is>
      </c>
      <c r="D16" s="23" t="inlineStr"/>
      <c r="E16" s="23">
        <f>IF(D16="Complies",0,IF(D16="Minor NC",1,IF(D16="Major NC",3,IF(D16="N/A","",""))))</f>
        <v/>
      </c>
      <c r="F16" s="22" t="inlineStr"/>
      <c r="G16" s="22" t="inlineStr"/>
    </row>
    <row r="17" ht="30" customHeight="1">
      <c r="A17" s="22" t="inlineStr"/>
      <c r="B17" s="22" t="inlineStr"/>
      <c r="C17" s="22" t="inlineStr">
        <is>
          <t>Has the building owner signed off on the report/document?</t>
        </is>
      </c>
      <c r="D17" s="23" t="inlineStr"/>
      <c r="E17" s="23">
        <f>IF(D17="Complies",0,IF(D17="Minor NC",1,IF(D17="Major NC",3,IF(D17="N/A","",""))))</f>
        <v/>
      </c>
      <c r="F17" s="22" t="inlineStr"/>
      <c r="G17" s="22" t="inlineStr">
        <is>
          <t>Signed design intent report or OPR</t>
        </is>
      </c>
    </row>
    <row r="18" ht="30" customHeight="1">
      <c r="A18" s="22" t="inlineStr"/>
      <c r="B18" s="22" t="inlineStr">
        <is>
          <t>Services and Maintainability Review</t>
        </is>
      </c>
      <c r="C18" s="22" t="inlineStr">
        <is>
          <t>Was a services and maintainability review conducted prior to construction?</t>
        </is>
      </c>
      <c r="D18" s="23" t="inlineStr"/>
      <c r="E18" s="23">
        <f>IF(D18="Complies",0,IF(D18="Minor NC",1,IF(D18="Major NC",3,IF(D18="N/A","",""))))</f>
        <v/>
      </c>
      <c r="F18" s="22" t="inlineStr"/>
      <c r="G18" s="22" t="inlineStr">
        <is>
          <t>Evidence of review being conducted</t>
        </is>
      </c>
    </row>
    <row r="19" ht="30" customHeight="1">
      <c r="A19" s="22" t="inlineStr"/>
      <c r="B19" s="22" t="inlineStr"/>
      <c r="C19" s="22" t="inlineStr">
        <is>
          <t>Did the review involve building owner, design consultants, architect, FM, head contractor and ICA?</t>
        </is>
      </c>
      <c r="D19" s="23" t="inlineStr"/>
      <c r="E19" s="23">
        <f>IF(D19="Complies",0,IF(D19="Minor NC",1,IF(D19="Major NC",3,IF(D19="N/A","",""))))</f>
        <v/>
      </c>
      <c r="F19" s="22" t="inlineStr"/>
      <c r="G19" s="22" t="inlineStr"/>
    </row>
    <row r="20" ht="30" customHeight="1">
      <c r="A20" s="22" t="inlineStr"/>
      <c r="B20" s="22" t="inlineStr"/>
      <c r="C20" s="22" t="inlineStr">
        <is>
          <t>Were all items addressed, closed-out and documented in Services and Maintainability Report?</t>
        </is>
      </c>
      <c r="D20" s="23" t="inlineStr"/>
      <c r="E20" s="23">
        <f>IF(D20="Complies",0,IF(D20="Minor NC",1,IF(D20="Major NC",3,IF(D20="N/A","",""))))</f>
        <v/>
      </c>
      <c r="F20" s="22" t="inlineStr"/>
      <c r="G20" s="22" t="inlineStr">
        <is>
          <t>Services and Maintainability Report signed by all parties</t>
        </is>
      </c>
    </row>
    <row r="21" ht="30" customHeight="1">
      <c r="A21" s="22" t="inlineStr"/>
      <c r="B21" s="22" t="inlineStr">
        <is>
          <t>Building Commissioning</t>
        </is>
      </c>
      <c r="C21" s="22" t="inlineStr">
        <is>
          <t>Were commissioning requirements included in construction documentation prior to construction?</t>
        </is>
      </c>
      <c r="D21" s="23" t="inlineStr"/>
      <c r="E21" s="23">
        <f>IF(D21="Complies",0,IF(D21="Minor NC",1,IF(D21="Major NC",3,IF(D21="N/A","",""))))</f>
        <v/>
      </c>
      <c r="F21" s="22" t="inlineStr"/>
      <c r="G21" s="22" t="inlineStr">
        <is>
          <t>Extracts from construction documentation</t>
        </is>
      </c>
    </row>
    <row r="22" ht="30" customHeight="1">
      <c r="A22" s="22" t="inlineStr"/>
      <c r="B22" s="22" t="inlineStr"/>
      <c r="C22" s="22" t="inlineStr">
        <is>
          <t>Was a commissioning plan developed prior to start of commissioning?</t>
        </is>
      </c>
      <c r="D22" s="23" t="inlineStr"/>
      <c r="E22" s="23">
        <f>IF(D22="Complies",0,IF(D22="Minor NC",1,IF(D22="Major NC",3,IF(D22="N/A","",""))))</f>
        <v/>
      </c>
      <c r="F22" s="22" t="inlineStr"/>
      <c r="G22" s="22" t="inlineStr">
        <is>
          <t>Extracts of commissioning plan</t>
        </is>
      </c>
    </row>
    <row r="23" ht="30" customHeight="1">
      <c r="A23" s="22" t="inlineStr"/>
      <c r="B23" s="22" t="inlineStr"/>
      <c r="C23" s="22" t="inlineStr">
        <is>
          <t>Was commissioning completed per a recognised standard (AIRAH DA27, ASHRAE, CIBSE, SA TA 5342)?</t>
        </is>
      </c>
      <c r="D23" s="23" t="inlineStr"/>
      <c r="E23" s="23">
        <f>IF(D23="Complies",0,IF(D23="Minor NC",1,IF(D23="Major NC",3,IF(D23="N/A","",""))))</f>
        <v/>
      </c>
      <c r="F23" s="22" t="inlineStr"/>
      <c r="G23" s="22" t="inlineStr">
        <is>
          <t>Extracts from commissioning report</t>
        </is>
      </c>
    </row>
    <row r="24" ht="30" customHeight="1">
      <c r="A24" s="22" t="inlineStr"/>
      <c r="B24" s="22" t="inlineStr">
        <is>
          <t>Airtightness</t>
        </is>
      </c>
      <c r="C24" s="22" t="inlineStr">
        <is>
          <t>Were airtightness targets set prior to schematic design based on ATTMA Australia Guide?</t>
        </is>
      </c>
      <c r="D24" s="23" t="inlineStr"/>
      <c r="E24" s="23">
        <f>IF(D24="Complies",0,IF(D24="Minor NC",1,IF(D24="Major NC",3,IF(D24="N/A","",""))))</f>
        <v/>
      </c>
      <c r="F24" s="22" t="inlineStr"/>
      <c r="G24" s="22" t="inlineStr">
        <is>
          <t>Evidence of how airtightness targets were determined</t>
        </is>
      </c>
    </row>
    <row r="25" ht="30" customHeight="1">
      <c r="A25" s="22" t="inlineStr"/>
      <c r="B25" s="22" t="inlineStr"/>
      <c r="C25" s="22" t="inlineStr">
        <is>
          <t>Was the air barrier system schematic reviewed prior to end of design development?</t>
        </is>
      </c>
      <c r="D25" s="23" t="inlineStr"/>
      <c r="E25" s="23">
        <f>IF(D25="Complies",0,IF(D25="Minor NC",1,IF(D25="Major NC",3,IF(D25="N/A","",""))))</f>
        <v/>
      </c>
      <c r="F25" s="22" t="inlineStr"/>
      <c r="G25" s="22" t="inlineStr">
        <is>
          <t>Evidence of air barrier system schematic review (marked up drawings)</t>
        </is>
      </c>
    </row>
    <row r="26" ht="30" customHeight="1">
      <c r="A26" s="22" t="inlineStr"/>
      <c r="B26" s="22" t="inlineStr"/>
      <c r="C26" s="22" t="inlineStr">
        <is>
          <t>Was an approach to delivering airtightness developed prior to construction?</t>
        </is>
      </c>
      <c r="D26" s="23" t="inlineStr"/>
      <c r="E26" s="23">
        <f>IF(D26="Complies",0,IF(D26="Minor NC",1,IF(D26="Major NC",3,IF(D26="N/A","",""))))</f>
        <v/>
      </c>
      <c r="F26" s="22" t="inlineStr"/>
      <c r="G26" s="22" t="inlineStr">
        <is>
          <t>Airtightness testing and commissioning plan</t>
        </is>
      </c>
    </row>
    <row r="27" ht="30" customHeight="1">
      <c r="A27" s="22" t="inlineStr"/>
      <c r="B27" s="22" t="inlineStr"/>
      <c r="C27" s="22" t="inlineStr">
        <is>
          <t>Was airtightness testing carried out per AS/NZS ISO 9972 Method 1 by ATTMA member?</t>
        </is>
      </c>
      <c r="D27" s="23" t="inlineStr"/>
      <c r="E27" s="23">
        <f>IF(D27="Complies",0,IF(D27="Minor NC",1,IF(D27="Major NC",3,IF(D27="N/A","",""))))</f>
        <v/>
      </c>
      <c r="F27" s="22" t="inlineStr"/>
      <c r="G27" s="22" t="inlineStr">
        <is>
          <t>Building airtightness testing report or ATTMA Green Star Commissioning report</t>
        </is>
      </c>
    </row>
    <row r="28" ht="30" customHeight="1">
      <c r="A28" s="22" t="inlineStr"/>
      <c r="B28" s="22" t="inlineStr"/>
      <c r="C28" s="22" t="inlineStr">
        <is>
          <t>Were test results shared with building owner (regardless of targets being met)?</t>
        </is>
      </c>
      <c r="D28" s="23" t="inlineStr"/>
      <c r="E28" s="23">
        <f>IF(D28="Complies",0,IF(D28="Minor NC",1,IF(D28="Major NC",3,IF(D28="N/A","",""))))</f>
        <v/>
      </c>
      <c r="F28" s="22" t="inlineStr"/>
      <c r="G28" s="22" t="inlineStr">
        <is>
          <t>Signed confirmation from building owner</t>
        </is>
      </c>
    </row>
    <row r="29" ht="30" customHeight="1">
      <c r="A29" s="22" t="inlineStr"/>
      <c r="B29" s="22" t="inlineStr"/>
      <c r="C29" s="22" t="inlineStr">
        <is>
          <t>Were airtightness test results included in energy modelling?</t>
        </is>
      </c>
      <c r="D29" s="23" t="inlineStr"/>
      <c r="E29" s="23">
        <f>IF(D29="Complies",0,IF(D29="Minor NC",1,IF(D29="Major NC",3,IF(D29="N/A","",""))))</f>
        <v/>
      </c>
      <c r="F29" s="22" t="inlineStr"/>
      <c r="G29" s="22" t="inlineStr">
        <is>
          <t>Extracts from energy modelling report</t>
        </is>
      </c>
    </row>
    <row r="30" ht="30" customHeight="1">
      <c r="A30" s="22" t="inlineStr"/>
      <c r="B30" s="22" t="inlineStr">
        <is>
          <t>Building Systems Tuning</t>
        </is>
      </c>
      <c r="C30" s="22" t="inlineStr">
        <is>
          <t>Has building owner/developer committed to tuning process with quarterly adjustments for 12 months?</t>
        </is>
      </c>
      <c r="D30" s="23" t="inlineStr"/>
      <c r="E30" s="23">
        <f>IF(D30="Complies",0,IF(D30="Minor NC",1,IF(D30="Major NC",3,IF(D30="N/A","",""))))</f>
        <v/>
      </c>
      <c r="F30" s="22" t="inlineStr"/>
      <c r="G30" s="22" t="inlineStr">
        <is>
          <t>Commitment/contract from building owner and head contractor</t>
        </is>
      </c>
    </row>
    <row r="31" ht="30" customHeight="1">
      <c r="A31" s="22" t="inlineStr"/>
      <c r="B31" s="22" t="inlineStr"/>
      <c r="C31" s="22" t="inlineStr">
        <is>
          <t>Does commitment include a building tuning manual/plan with roles and responsibilities?</t>
        </is>
      </c>
      <c r="D31" s="23" t="inlineStr"/>
      <c r="E31" s="23">
        <f>IF(D31="Complies",0,IF(D31="Minor NC",1,IF(D31="Major NC",3,IF(D31="N/A","",""))))</f>
        <v/>
      </c>
      <c r="F31" s="22" t="inlineStr"/>
      <c r="G31" s="22" t="inlineStr">
        <is>
          <t>Extracts of building tuning plan</t>
        </is>
      </c>
    </row>
    <row r="32" ht="30" customHeight="1">
      <c r="A32" s="22" t="inlineStr"/>
      <c r="B32" s="22" t="inlineStr"/>
      <c r="C32" s="22" t="inlineStr">
        <is>
          <t>Does the building tuning team include FM, ICA/owner rep, head contractor and relevant subcontractors?</t>
        </is>
      </c>
      <c r="D32" s="23" t="inlineStr"/>
      <c r="E32" s="23">
        <f>IF(D32="Complies",0,IF(D32="Minor NC",1,IF(D32="Major NC",3,IF(D32="N/A","",""))))</f>
        <v/>
      </c>
      <c r="F32" s="22" t="inlineStr"/>
      <c r="G32" s="22" t="inlineStr"/>
    </row>
    <row r="33" ht="30" customHeight="1">
      <c r="A33" s="19" t="inlineStr">
        <is>
          <t>Building Information</t>
        </is>
      </c>
      <c r="B33" s="20" t="inlineStr">
        <is>
          <t>Operations and Maintenance Information</t>
        </is>
      </c>
      <c r="C33" s="20" t="inlineStr">
        <is>
          <t>Has O&amp;M information been provided to building owner for all nominated building systems?</t>
        </is>
      </c>
      <c r="D33" s="21" t="inlineStr"/>
      <c r="E33" s="21">
        <f>IF(D33="Complies",0,IF(D33="Minor NC",1,IF(D33="Major NC",3,IF(D33="N/A","",""))))</f>
        <v/>
      </c>
      <c r="F33" s="20" t="inlineStr"/>
      <c r="G33" s="20" t="inlineStr">
        <is>
          <t>Extracts of operations and maintenance information</t>
        </is>
      </c>
    </row>
    <row r="34" ht="30" customHeight="1">
      <c r="A34" s="22" t="inlineStr"/>
      <c r="B34" s="22" t="inlineStr"/>
      <c r="C34" s="22" t="inlineStr">
        <is>
          <t>Does O&amp;M info include maintenance instructions, procedures, schedules, service contacts, warranties and as-built drawings?</t>
        </is>
      </c>
      <c r="D34" s="23" t="inlineStr"/>
      <c r="E34" s="23">
        <f>IF(D34="Complies",0,IF(D34="Minor NC",1,IF(D34="Major NC",3,IF(D34="N/A","",""))))</f>
        <v/>
      </c>
      <c r="F34" s="22" t="inlineStr"/>
      <c r="G34" s="22" t="inlineStr"/>
    </row>
    <row r="35" ht="30" customHeight="1">
      <c r="A35" s="22" t="inlineStr"/>
      <c r="B35" s="22" t="inlineStr"/>
      <c r="C35" s="22" t="inlineStr">
        <is>
          <t>Do appropriate user groups have access to information for best practice environmental outcomes?</t>
        </is>
      </c>
      <c r="D35" s="23" t="inlineStr"/>
      <c r="E35" s="23">
        <f>IF(D35="Complies",0,IF(D35="Minor NC",1,IF(D35="Major NC",3,IF(D35="N/A","",""))))</f>
        <v/>
      </c>
      <c r="F35" s="22" t="inlineStr"/>
      <c r="G35" s="22" t="inlineStr"/>
    </row>
    <row r="36" ht="30" customHeight="1">
      <c r="A36" s="22" t="inlineStr"/>
      <c r="B36" s="22" t="inlineStr"/>
      <c r="C36" s="22" t="inlineStr">
        <is>
          <t>Does O&amp;M info include guidance on keeping information up to date and validating alerts/faults?</t>
        </is>
      </c>
      <c r="D36" s="23" t="inlineStr"/>
      <c r="E36" s="23">
        <f>IF(D36="Complies",0,IF(D36="Minor NC",1,IF(D36="Major NC",3,IF(D36="N/A","",""))))</f>
        <v/>
      </c>
      <c r="F36" s="22" t="inlineStr"/>
      <c r="G36" s="22" t="inlineStr"/>
    </row>
    <row r="37" ht="30" customHeight="1">
      <c r="A37" s="22" t="inlineStr"/>
      <c r="B37" s="22" t="inlineStr">
        <is>
          <t>Building Logbook</t>
        </is>
      </c>
      <c r="C37" s="22" t="inlineStr">
        <is>
          <t>Has a building logbook been developed per CIBSE TM31 for all nominated building systems?</t>
        </is>
      </c>
      <c r="D37" s="23" t="inlineStr"/>
      <c r="E37" s="23">
        <f>IF(D37="Complies",0,IF(D37="Minor NC",1,IF(D37="Major NC",3,IF(D37="N/A","",""))))</f>
        <v/>
      </c>
      <c r="F37" s="22" t="inlineStr"/>
      <c r="G37" s="22" t="inlineStr">
        <is>
          <t>Building logbook</t>
        </is>
      </c>
    </row>
    <row r="38" ht="30" customHeight="1">
      <c r="A38" s="22" t="inlineStr"/>
      <c r="B38" s="22" t="inlineStr"/>
      <c r="C38" s="22" t="inlineStr">
        <is>
          <t>Was the logbook presented to building owner prior to occupation?</t>
        </is>
      </c>
      <c r="D38" s="23" t="inlineStr"/>
      <c r="E38" s="23">
        <f>IF(D38="Complies",0,IF(D38="Minor NC",1,IF(D38="Major NC",3,IF(D38="N/A","",""))))</f>
        <v/>
      </c>
      <c r="F38" s="22" t="inlineStr"/>
      <c r="G38" s="22" t="inlineStr">
        <is>
          <t>Evidence of provision to building owner</t>
        </is>
      </c>
    </row>
    <row r="39" ht="30" customHeight="1">
      <c r="A39" s="22" t="inlineStr"/>
      <c r="B39" s="22" t="inlineStr">
        <is>
          <t>Building User Information</t>
        </is>
      </c>
      <c r="C39" s="22" t="inlineStr">
        <is>
          <t>Has building user information been provided to building owner and FM prior to occupation?</t>
        </is>
      </c>
      <c r="D39" s="23" t="inlineStr"/>
      <c r="E39" s="23">
        <f>IF(D39="Complies",0,IF(D39="Minor NC",1,IF(D39="Major NC",3,IF(D39="N/A","",""))))</f>
        <v/>
      </c>
      <c r="F39" s="22" t="inlineStr"/>
      <c r="G39" s="22" t="inlineStr">
        <is>
          <t>Building user information</t>
        </is>
      </c>
    </row>
    <row r="40" ht="30" customHeight="1">
      <c r="A40" s="22" t="inlineStr"/>
      <c r="B40" s="22" t="inlineStr"/>
      <c r="C40" s="22" t="inlineStr">
        <is>
          <t>Is the building user information publicly available to intended users?</t>
        </is>
      </c>
      <c r="D40" s="23" t="inlineStr"/>
      <c r="E40" s="23">
        <f>IF(D40="Complies",0,IF(D40="Minor NC",1,IF(D40="Major NC",3,IF(D40="N/A","",""))))</f>
        <v/>
      </c>
      <c r="F40" s="22" t="inlineStr"/>
      <c r="G40" s="22" t="inlineStr"/>
    </row>
    <row r="41" ht="30" customHeight="1">
      <c r="A41" s="22" t="inlineStr"/>
      <c r="B41" s="22" t="inlineStr"/>
      <c r="C41" s="22" t="inlineStr">
        <is>
          <t>Is the information communicated in a way easily understood by the target audience?</t>
        </is>
      </c>
      <c r="D41" s="23" t="inlineStr"/>
      <c r="E41" s="23">
        <f>IF(D41="Complies",0,IF(D41="Minor NC",1,IF(D41="Major NC",3,IF(D41="N/A","",""))))</f>
        <v/>
      </c>
      <c r="F41" s="22" t="inlineStr"/>
      <c r="G41" s="22" t="inlineStr"/>
    </row>
    <row r="42" ht="30" customHeight="1">
      <c r="A42" s="22" t="inlineStr"/>
      <c r="B42" s="22" t="inlineStr"/>
      <c r="C42" s="22" t="inlineStr">
        <is>
          <t>Is the information in an editable, digital format accessible for updates by FM?</t>
        </is>
      </c>
      <c r="D42" s="23" t="inlineStr"/>
      <c r="E42" s="23">
        <f>IF(D42="Complies",0,IF(D42="Minor NC",1,IF(D42="Major NC",3,IF(D42="N/A","",""))))</f>
        <v/>
      </c>
      <c r="F42" s="22" t="inlineStr"/>
      <c r="G42" s="22" t="inlineStr">
        <is>
          <t>Evidence of editable format provision</t>
        </is>
      </c>
    </row>
    <row r="43" ht="30" customHeight="1">
      <c r="A43" s="18" t="inlineStr">
        <is>
          <t>CREDIT ACHIEVEMENT (1 point)</t>
        </is>
      </c>
    </row>
    <row r="44" ht="30" customHeight="1">
      <c r="A44" s="19" t="inlineStr">
        <is>
          <t>Soft Landings Approach</t>
        </is>
      </c>
      <c r="B44" s="20" t="inlineStr">
        <is>
          <t>CIBSE ANZ Framework</t>
        </is>
      </c>
      <c r="C44" s="20" t="inlineStr">
        <is>
          <t>Have Stages 1 to 4 of the CIBSE ANZ Soft Landings Framework been implemented?</t>
        </is>
      </c>
      <c r="D44" s="21" t="inlineStr"/>
      <c r="E44" s="21">
        <f>IF(D44="Complies",0,IF(D44="Minor NC",1,IF(D44="Major NC",3,IF(D44="N/A","",""))))</f>
        <v/>
      </c>
      <c r="F44" s="20" t="inlineStr"/>
      <c r="G44" s="20" t="inlineStr">
        <is>
          <t>Evidence of CIBSE ANZ framework implementation</t>
        </is>
      </c>
    </row>
    <row r="45" ht="30" customHeight="1">
      <c r="A45" s="22" t="inlineStr"/>
      <c r="B45" s="22" t="inlineStr"/>
      <c r="C45" s="22" t="inlineStr">
        <is>
          <t>Are sample worksheets from CIBSE ANZ for Stages 1-3 completed?</t>
        </is>
      </c>
      <c r="D45" s="23" t="inlineStr"/>
      <c r="E45" s="23">
        <f>IF(D45="Complies",0,IF(D45="Minor NC",1,IF(D45="Major NC",3,IF(D45="N/A","",""))))</f>
        <v/>
      </c>
      <c r="F45" s="22" t="inlineStr"/>
      <c r="G45" s="22" t="inlineStr">
        <is>
          <t>Completed worksheets</t>
        </is>
      </c>
    </row>
    <row r="46" ht="30" customHeight="1">
      <c r="A46" s="22" t="inlineStr"/>
      <c r="B46" s="22" t="inlineStr"/>
      <c r="C46" s="22" t="inlineStr">
        <is>
          <t>Are actions for Stage 4 identified?</t>
        </is>
      </c>
      <c r="D46" s="23" t="inlineStr"/>
      <c r="E46" s="23">
        <f>IF(D46="Complies",0,IF(D46="Minor NC",1,IF(D46="Major NC",3,IF(D46="N/A","",""))))</f>
        <v/>
      </c>
      <c r="F46" s="22" t="inlineStr"/>
      <c r="G46" s="22" t="inlineStr"/>
    </row>
    <row r="47" ht="30" customHeight="1">
      <c r="A47" s="22" t="inlineStr"/>
      <c r="B47" s="22" t="inlineStr">
        <is>
          <t>FM Team Involvement</t>
        </is>
      </c>
      <c r="C47" s="22" t="inlineStr">
        <is>
          <t>Was the FM team (or building owner rep) involved in commissioning and handover process?</t>
        </is>
      </c>
      <c r="D47" s="23" t="inlineStr"/>
      <c r="E47" s="23">
        <f>IF(D47="Complies",0,IF(D47="Minor NC",1,IF(D47="Major NC",3,IF(D47="N/A","",""))))</f>
        <v/>
      </c>
      <c r="F47" s="22" t="inlineStr"/>
      <c r="G47" s="22" t="inlineStr"/>
    </row>
    <row r="48" ht="30" customHeight="1">
      <c r="A48" s="22" t="inlineStr"/>
      <c r="B48" s="22" t="inlineStr"/>
      <c r="C48" s="22" t="inlineStr">
        <is>
          <t>Did FM team take part in developing brief technical guide and O&amp;M manual?</t>
        </is>
      </c>
      <c r="D48" s="23" t="inlineStr"/>
      <c r="E48" s="23">
        <f>IF(D48="Complies",0,IF(D48="Minor NC",1,IF(D48="Major NC",3,IF(D48="N/A","",""))))</f>
        <v/>
      </c>
      <c r="F48" s="22" t="inlineStr"/>
      <c r="G48" s="22" t="inlineStr"/>
    </row>
    <row r="49" ht="30" customHeight="1">
      <c r="A49" s="22" t="inlineStr"/>
      <c r="B49" s="22" t="inlineStr"/>
      <c r="C49" s="22" t="inlineStr">
        <is>
          <t>Did FM team sign-off on the O&amp;M manual?</t>
        </is>
      </c>
      <c r="D49" s="23" t="inlineStr"/>
      <c r="E49" s="23">
        <f>IF(D49="Complies",0,IF(D49="Minor NC",1,IF(D49="Major NC",3,IF(D49="N/A","",""))))</f>
        <v/>
      </c>
      <c r="F49" s="22" t="inlineStr"/>
      <c r="G49" s="22" t="inlineStr">
        <is>
          <t>Signed O&amp;M manual</t>
        </is>
      </c>
    </row>
    <row r="50" ht="30" customHeight="1">
      <c r="A50" s="22" t="inlineStr"/>
      <c r="B50" s="22" t="inlineStr"/>
      <c r="C50" s="22" t="inlineStr">
        <is>
          <t>Was FM team trained before handover (including BMS demonstration)?</t>
        </is>
      </c>
      <c r="D50" s="23" t="inlineStr"/>
      <c r="E50" s="23">
        <f>IF(D50="Complies",0,IF(D50="Minor NC",1,IF(D50="Major NC",3,IF(D50="N/A","",""))))</f>
        <v/>
      </c>
      <c r="F50" s="22" t="inlineStr"/>
      <c r="G50" s="22" t="inlineStr">
        <is>
          <t>Training records</t>
        </is>
      </c>
    </row>
    <row r="51" ht="30" customHeight="1">
      <c r="A51" s="22" t="inlineStr"/>
      <c r="B51" s="22" t="inlineStr"/>
      <c r="C51" s="22" t="inlineStr">
        <is>
          <t>Does FM team have continued access to design/construction team for 2 years post PC?</t>
        </is>
      </c>
      <c r="D51" s="23" t="inlineStr"/>
      <c r="E51" s="23">
        <f>IF(D51="Complies",0,IF(D51="Minor NC",1,IF(D51="Major NC",3,IF(D51="N/A","",""))))</f>
        <v/>
      </c>
      <c r="F51" s="22" t="inlineStr"/>
      <c r="G51" s="22" t="inlineStr">
        <is>
          <t>Contractual evidence of continued access</t>
        </is>
      </c>
    </row>
    <row r="52" ht="30" customHeight="1">
      <c r="A52" s="19" t="inlineStr">
        <is>
          <t>Independent Commissioning Agent</t>
        </is>
      </c>
      <c r="B52" s="20" t="inlineStr">
        <is>
          <t>ICA Appointment</t>
        </is>
      </c>
      <c r="C52" s="20" t="inlineStr">
        <is>
          <t>Was an ICA appointed prior to design development?</t>
        </is>
      </c>
      <c r="D52" s="21" t="inlineStr"/>
      <c r="E52" s="21">
        <f>IF(D52="Complies",0,IF(D52="Minor NC",1,IF(D52="Major NC",3,IF(D52="N/A","",""))))</f>
        <v/>
      </c>
      <c r="F52" s="20" t="inlineStr"/>
      <c r="G52" s="20" t="inlineStr">
        <is>
          <t>Letter from building owner confirming ICA appointment</t>
        </is>
      </c>
    </row>
    <row r="53" ht="30" customHeight="1">
      <c r="A53" s="22" t="inlineStr"/>
      <c r="B53" s="22" t="inlineStr">
        <is>
          <t>ICA Qualifications</t>
        </is>
      </c>
      <c r="C53" s="22" t="inlineStr">
        <is>
          <t>Is the ICA an advocate for and reporting directly to the project owner?</t>
        </is>
      </c>
      <c r="D53" s="23" t="inlineStr"/>
      <c r="E53" s="23">
        <f>IF(D53="Complies",0,IF(D53="Minor NC",1,IF(D53="Major NC",3,IF(D53="N/A","",""))))</f>
        <v/>
      </c>
      <c r="F53" s="22" t="inlineStr"/>
      <c r="G53" s="22" t="inlineStr">
        <is>
          <t>CV of ICA with qualifications and experience</t>
        </is>
      </c>
    </row>
    <row r="54" ht="30" customHeight="1">
      <c r="A54" s="22" t="inlineStr"/>
      <c r="B54" s="22" t="inlineStr"/>
      <c r="C54" s="22" t="inlineStr">
        <is>
          <t>Is the ICA independent of any consultant/contractor involved in design or installation?</t>
        </is>
      </c>
      <c r="D54" s="23" t="inlineStr"/>
      <c r="E54" s="23">
        <f>IF(D54="Complies",0,IF(D54="Minor NC",1,IF(D54="Major NC",3,IF(D54="N/A","",""))))</f>
        <v/>
      </c>
      <c r="F54" s="22" t="inlineStr"/>
      <c r="G54" s="22" t="inlineStr"/>
    </row>
    <row r="55" ht="30" customHeight="1">
      <c r="A55" s="22" t="inlineStr"/>
      <c r="B55" s="22" t="inlineStr"/>
      <c r="C55" s="22" t="inlineStr">
        <is>
          <t>Is the ICA a registered professional engineer or qualified technician with demonstrated commissioning competency?</t>
        </is>
      </c>
      <c r="D55" s="23" t="inlineStr"/>
      <c r="E55" s="23">
        <f>IF(D55="Complies",0,IF(D55="Minor NC",1,IF(D55="Major NC",3,IF(D55="N/A","",""))))</f>
        <v/>
      </c>
      <c r="F55" s="22" t="inlineStr"/>
      <c r="G55" s="22" t="inlineStr"/>
    </row>
    <row r="56" ht="30" customHeight="1">
      <c r="A56" s="22" t="inlineStr"/>
      <c r="B56" s="22" t="inlineStr"/>
      <c r="C56" s="22" t="inlineStr">
        <is>
          <t>Does the ICA have experience commissioning at least 2 similar projects?</t>
        </is>
      </c>
      <c r="D56" s="23" t="inlineStr"/>
      <c r="E56" s="23">
        <f>IF(D56="Complies",0,IF(D56="Minor NC",1,IF(D56="Major NC",3,IF(D56="N/A","",""))))</f>
        <v/>
      </c>
      <c r="F56" s="22" t="inlineStr"/>
      <c r="G56" s="22" t="inlineStr"/>
    </row>
    <row r="57" ht="30" customHeight="1">
      <c r="A57" s="22" t="inlineStr"/>
      <c r="B57" s="22" t="inlineStr">
        <is>
          <t>ICA Involvement</t>
        </is>
      </c>
      <c r="C57" s="22" t="inlineStr">
        <is>
          <t>Did ICA advise, monitor and verify commissioning/tuning throughout design development, tender, construction, commissioning and tuning phases?</t>
        </is>
      </c>
      <c r="D57" s="23" t="inlineStr"/>
      <c r="E57" s="23">
        <f>IF(D57="Complies",0,IF(D57="Minor NC",1,IF(D57="Major NC",3,IF(D57="N/A","",""))))</f>
        <v/>
      </c>
      <c r="F57" s="22" t="inlineStr"/>
      <c r="G57" s="22" t="inlineStr">
        <is>
          <t>Evidence of ICA involvement from design stage through to tuning</t>
        </is>
      </c>
    </row>
  </sheetData>
  <mergeCells count="4">
    <mergeCell ref="A43:G43"/>
    <mergeCell ref="A2:G2"/>
    <mergeCell ref="A1:G1"/>
    <mergeCell ref="A5:G5"/>
  </mergeCells>
  <conditionalFormatting sqref="D5:D57">
    <cfRule type="cellIs" priority="1" operator="equal" dxfId="0">
      <formula>"Complies"</formula>
    </cfRule>
    <cfRule type="cellIs" priority="2" operator="equal" dxfId="1">
      <formula>"Minor NC"</formula>
    </cfRule>
    <cfRule type="cellIs" priority="3" operator="equal" dxfId="2">
      <formula>"Major NC"</formula>
    </cfRule>
    <cfRule type="cellIs" priority="4" operator="equal" dxfId="3">
      <formula>"N/A"</formula>
    </cfRule>
  </conditionalFormatting>
  <dataValidations count="1">
    <dataValidation sqref="D6 D7 D8 D9 D10 D11 D12 D13 D14 D15 D16 D17 D18 D19 D20 D21 D22 D23 D24 D25 D26 D27 D28 D29 D30 D31 D32 D33 D34 D35 D36 D37 D38 D39 D40 D41 D42 D44 D45 D46 D47 D48 D49 D50 D51 D52 D53 D54 D55 D56 D57" showDropDown="0" showInputMessage="0" showErrorMessage="0" allowBlank="1" errorTitle="Invalid Entry" error="Please select from the dropdown" promptTitle="Compliance Status" prompt="Select compliance status" type="list">
      <formula1>"Complies,Minor NC,Major NC,N/A"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2026-02-02T07:35:27Z</dcterms:created>
  <dcterms:modified xsi:type="dcterms:W3CDTF">2026-02-02T07:35:27Z</dcterms:modified>
</cp:coreProperties>
</file>